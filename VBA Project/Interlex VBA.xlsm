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vggo.MSI\Documents\Interlex\Excel-VBA-Interlex\VBA Project\"/>
    </mc:Choice>
  </mc:AlternateContent>
  <xr:revisionPtr revIDLastSave="0" documentId="10_ncr:100000_{DF4747E3-5159-446A-9CFA-C72998F444A5}" xr6:coauthVersionLast="31" xr6:coauthVersionMax="31" xr10:uidLastSave="{00000000-0000-0000-0000-000000000000}"/>
  <bookViews>
    <workbookView xWindow="0" yWindow="0" windowWidth="21570" windowHeight="7980" xr2:uid="{ECCCED64-492C-4829-AFC6-60F391F88969}"/>
  </bookViews>
  <sheets>
    <sheet name="Main Sheet" sheetId="1" r:id="rId1"/>
    <sheet name="Client Settings" sheetId="3" r:id="rId2"/>
    <sheet name="Gross Sales Table Template" sheetId="2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2" l="1"/>
  <c r="A3" i="2"/>
  <c r="S15" i="2" l="1"/>
  <c r="R14" i="2"/>
  <c r="Q14" i="2"/>
  <c r="P14" i="2"/>
  <c r="O14" i="2"/>
  <c r="N14" i="2"/>
  <c r="M14" i="2"/>
  <c r="L14" i="2"/>
  <c r="D14" i="2"/>
  <c r="A12" i="2"/>
  <c r="A11" i="2"/>
  <c r="A10" i="2"/>
  <c r="A9" i="2"/>
  <c r="A8" i="2"/>
  <c r="A7" i="2"/>
  <c r="A6" i="2"/>
  <c r="A5" i="2"/>
  <c r="A2" i="2"/>
</calcChain>
</file>

<file path=xl/sharedStrings.xml><?xml version="1.0" encoding="utf-8"?>
<sst xmlns="http://schemas.openxmlformats.org/spreadsheetml/2006/main" count="42" uniqueCount="42">
  <si>
    <t>得意先名</t>
    <rPh sb="0" eb="3">
      <t>トクイサキ</t>
    </rPh>
    <rPh sb="3" eb="4">
      <t>メイ</t>
    </rPh>
    <phoneticPr fontId="0"/>
  </si>
  <si>
    <t>請求日</t>
    <rPh sb="0" eb="2">
      <t>セイキュウ</t>
    </rPh>
    <rPh sb="2" eb="3">
      <t>ビ</t>
    </rPh>
    <phoneticPr fontId="0"/>
  </si>
  <si>
    <t>請求番号</t>
    <rPh sb="0" eb="2">
      <t>セイキュウ</t>
    </rPh>
    <rPh sb="2" eb="4">
      <t>バンゴウ</t>
    </rPh>
    <phoneticPr fontId="0"/>
  </si>
  <si>
    <t>日立依頼番号</t>
    <rPh sb="0" eb="2">
      <t>ヒタチ</t>
    </rPh>
    <rPh sb="2" eb="4">
      <t>イライ</t>
    </rPh>
    <rPh sb="4" eb="6">
      <t>バンゴウ</t>
    </rPh>
    <phoneticPr fontId="0"/>
  </si>
  <si>
    <t>当所整理番号</t>
    <rPh sb="0" eb="2">
      <t>トウショ</t>
    </rPh>
    <rPh sb="2" eb="4">
      <t>セイリ</t>
    </rPh>
    <rPh sb="4" eb="6">
      <t>バンゴウ</t>
    </rPh>
    <phoneticPr fontId="0"/>
  </si>
  <si>
    <t>出願番号</t>
    <rPh sb="0" eb="2">
      <t>シュツガン</t>
    </rPh>
    <rPh sb="2" eb="4">
      <t>バンゴウ</t>
    </rPh>
    <phoneticPr fontId="0"/>
  </si>
  <si>
    <t>登録番号</t>
    <rPh sb="0" eb="2">
      <t>トウロク</t>
    </rPh>
    <rPh sb="2" eb="4">
      <t>バンゴウ</t>
    </rPh>
    <phoneticPr fontId="0"/>
  </si>
  <si>
    <t>国際出願番号</t>
    <rPh sb="0" eb="2">
      <t>コクサイ</t>
    </rPh>
    <rPh sb="2" eb="4">
      <t>シュツガン</t>
    </rPh>
    <rPh sb="4" eb="6">
      <t>バンゴウ</t>
    </rPh>
    <phoneticPr fontId="0"/>
  </si>
  <si>
    <t>担当者</t>
    <rPh sb="0" eb="3">
      <t>タントウシャ</t>
    </rPh>
    <phoneticPr fontId="0"/>
  </si>
  <si>
    <t>売上</t>
    <rPh sb="0" eb="2">
      <t>ウリアゲ</t>
    </rPh>
    <phoneticPr fontId="0"/>
  </si>
  <si>
    <t>消費税</t>
    <rPh sb="0" eb="3">
      <t>ショウヒゼイ</t>
    </rPh>
    <phoneticPr fontId="0"/>
  </si>
  <si>
    <t>印紙代</t>
    <rPh sb="0" eb="3">
      <t>インシダイ</t>
    </rPh>
    <phoneticPr fontId="0"/>
  </si>
  <si>
    <t>代理人費用</t>
    <rPh sb="0" eb="3">
      <t>ダイリニン</t>
    </rPh>
    <rPh sb="3" eb="5">
      <t>ヒヨウ</t>
    </rPh>
    <phoneticPr fontId="0"/>
  </si>
  <si>
    <t>内 税
交通費</t>
    <rPh sb="0" eb="1">
      <t>ウチ</t>
    </rPh>
    <rPh sb="2" eb="3">
      <t>ゼイ</t>
    </rPh>
    <rPh sb="4" eb="7">
      <t>コウツウヒ</t>
    </rPh>
    <phoneticPr fontId="0"/>
  </si>
  <si>
    <t>非課税</t>
    <rPh sb="0" eb="3">
      <t>ヒカゼイ</t>
    </rPh>
    <phoneticPr fontId="0"/>
  </si>
  <si>
    <t>請求合計</t>
    <rPh sb="0" eb="2">
      <t>セイキュウ</t>
    </rPh>
    <rPh sb="2" eb="4">
      <t>ゴウケイ</t>
    </rPh>
    <phoneticPr fontId="0"/>
  </si>
  <si>
    <t>入金</t>
    <rPh sb="0" eb="2">
      <t>ニュウキン</t>
    </rPh>
    <phoneticPr fontId="0"/>
  </si>
  <si>
    <t>国コ-ド</t>
  </si>
  <si>
    <t>国名</t>
  </si>
  <si>
    <t>四法</t>
  </si>
  <si>
    <t>負担率</t>
  </si>
  <si>
    <t>請求区分
コード</t>
    <phoneticPr fontId="0"/>
  </si>
  <si>
    <t>請求区分名</t>
  </si>
  <si>
    <t>請求書
メモ</t>
    <phoneticPr fontId="0"/>
  </si>
  <si>
    <t>技術担当
者コード</t>
    <phoneticPr fontId="0"/>
  </si>
  <si>
    <t>事務担当
者コード</t>
    <phoneticPr fontId="0"/>
  </si>
  <si>
    <t>事務担当
者名</t>
    <phoneticPr fontId="0"/>
  </si>
  <si>
    <t>依頼先
整理番号</t>
    <phoneticPr fontId="0"/>
  </si>
  <si>
    <t>海外立替金</t>
  </si>
  <si>
    <t>内消費税</t>
  </si>
  <si>
    <t>他立替金</t>
  </si>
  <si>
    <t>課税対象
外額</t>
    <phoneticPr fontId="0"/>
  </si>
  <si>
    <t>請求書発行（記帳済）枚数</t>
    <rPh sb="0" eb="3">
      <t>セイキュウショ</t>
    </rPh>
    <rPh sb="3" eb="5">
      <t>ハッコウ</t>
    </rPh>
    <rPh sb="6" eb="8">
      <t>キチョウ</t>
    </rPh>
    <rPh sb="8" eb="9">
      <t>ズ</t>
    </rPh>
    <rPh sb="10" eb="12">
      <t>マイスウ</t>
    </rPh>
    <phoneticPr fontId="0"/>
  </si>
  <si>
    <t>欠番（枚）</t>
    <rPh sb="0" eb="2">
      <t>ケツバン</t>
    </rPh>
    <rPh sb="3" eb="4">
      <t>マイ</t>
    </rPh>
    <phoneticPr fontId="0"/>
  </si>
  <si>
    <t>当月入金額</t>
    <rPh sb="0" eb="2">
      <t>トウゲツ</t>
    </rPh>
    <rPh sb="2" eb="4">
      <t>ニュウキン</t>
    </rPh>
    <rPh sb="4" eb="5">
      <t>ガク</t>
    </rPh>
    <phoneticPr fontId="0"/>
  </si>
  <si>
    <t>Customer Name</t>
  </si>
  <si>
    <t>Accounts Receivable Ledger File Name</t>
  </si>
  <si>
    <t>Bank Registered Name</t>
  </si>
  <si>
    <t>JPY / USD</t>
  </si>
  <si>
    <t>Remaining Balance</t>
  </si>
  <si>
    <t>顧客
コード</t>
  </si>
  <si>
    <t>D:\Users\avggo.MSI\Documents\Interlex\Excel-VBA-Interlex\VBA Project\売掛金台帳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</si>
</sst>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yyyy/m/d;@"/>
    <numFmt numFmtId="165" formatCode="#,##0_ "/>
    <numFmt numFmtId="166" formatCode="0000000"/>
    <numFmt numFmtId="167" formatCode="#,##0;&quot;△ &quot;#,##0"/>
    <numFmt numFmtId="168" formatCode="#,##0&quot;枚&quot;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gray0625"/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 wrapText="1"/>
    </xf>
    <xf numFmtId="165" fontId="4" fillId="2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64" fontId="3" fillId="0" borderId="10" xfId="0" applyNumberFormat="1" applyFont="1" applyFill="1" applyBorder="1" applyAlignment="1">
      <alignment horizontal="left" vertical="center"/>
    </xf>
    <xf numFmtId="166" fontId="3" fillId="0" borderId="8" xfId="0" applyNumberFormat="1" applyFont="1" applyFill="1" applyBorder="1" applyAlignment="1">
      <alignment horizontal="left" vertical="center"/>
    </xf>
    <xf numFmtId="49" fontId="3" fillId="0" borderId="8" xfId="0" applyNumberFormat="1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167" fontId="3" fillId="0" borderId="8" xfId="0" applyNumberFormat="1" applyFont="1" applyFill="1" applyBorder="1" applyAlignment="1">
      <alignment vertical="center"/>
    </xf>
    <xf numFmtId="167" fontId="3" fillId="0" borderId="11" xfId="0" applyNumberFormat="1" applyFont="1" applyFill="1" applyBorder="1" applyAlignment="1">
      <alignment vertical="center"/>
    </xf>
    <xf numFmtId="167" fontId="3" fillId="0" borderId="12" xfId="0" applyNumberFormat="1" applyFont="1" applyFill="1" applyBorder="1" applyAlignment="1">
      <alignment vertical="center"/>
    </xf>
    <xf numFmtId="167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164" fontId="3" fillId="0" borderId="15" xfId="0" applyNumberFormat="1" applyFont="1" applyFill="1" applyBorder="1" applyAlignment="1">
      <alignment horizontal="left" vertical="center"/>
    </xf>
    <xf numFmtId="166" fontId="3" fillId="0" borderId="14" xfId="0" applyNumberFormat="1" applyFont="1" applyFill="1" applyBorder="1" applyAlignment="1">
      <alignment horizontal="left" vertical="center"/>
    </xf>
    <xf numFmtId="0" fontId="3" fillId="0" borderId="14" xfId="0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167" fontId="3" fillId="0" borderId="14" xfId="0" applyNumberFormat="1" applyFont="1" applyFill="1" applyBorder="1" applyAlignment="1">
      <alignment vertical="center"/>
    </xf>
    <xf numFmtId="167" fontId="3" fillId="0" borderId="16" xfId="0" applyNumberFormat="1" applyFont="1" applyFill="1" applyBorder="1" applyAlignment="1">
      <alignment vertical="center"/>
    </xf>
    <xf numFmtId="167" fontId="3" fillId="0" borderId="17" xfId="0" applyNumberFormat="1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6" fillId="0" borderId="18" xfId="0" applyFont="1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19" xfId="0" applyFont="1" applyFill="1" applyBorder="1" applyAlignment="1">
      <alignment horizontal="left" vertical="center"/>
    </xf>
    <xf numFmtId="168" fontId="6" fillId="0" borderId="19" xfId="0" applyNumberFormat="1" applyFont="1" applyFill="1" applyBorder="1" applyAlignment="1">
      <alignment vertical="center"/>
    </xf>
    <xf numFmtId="0" fontId="6" fillId="0" borderId="19" xfId="0" applyFont="1" applyFill="1" applyBorder="1" applyAlignment="1">
      <alignment horizontal="center" vertical="center"/>
    </xf>
    <xf numFmtId="167" fontId="6" fillId="0" borderId="19" xfId="0" applyNumberFormat="1" applyFont="1" applyFill="1" applyBorder="1" applyAlignment="1">
      <alignment vertical="center"/>
    </xf>
    <xf numFmtId="167" fontId="6" fillId="0" borderId="19" xfId="1" applyNumberFormat="1" applyFont="1" applyFill="1" applyBorder="1" applyAlignment="1">
      <alignment vertical="center"/>
    </xf>
    <xf numFmtId="164" fontId="6" fillId="0" borderId="19" xfId="0" applyNumberFormat="1" applyFont="1" applyFill="1" applyBorder="1" applyAlignment="1">
      <alignment horizontal="left" vertical="center"/>
    </xf>
    <xf numFmtId="49" fontId="6" fillId="0" borderId="19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7" fillId="0" borderId="0" xfId="0" applyFont="1"/>
    <xf numFmtId="4" fontId="0" fillId="0" borderId="0" xfId="0" applyNumberFormat="1"/>
  </cellXfs>
  <cellStyles count="2">
    <cellStyle name="Comma [0]" xfId="1" builtinId="6"/>
    <cellStyle name="Normal" xfId="0" builtinId="0"/>
  </cellStyles>
  <dxfs count="1">
    <dxf>
      <font>
        <b/>
        <i val="0"/>
        <condense val="0"/>
        <extend val="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9525</xdr:rowOff>
        </xdr:from>
        <xdr:to>
          <xdr:col>2</xdr:col>
          <xdr:colOff>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8</xdr:col>
          <xdr:colOff>114300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9525</xdr:rowOff>
        </xdr:from>
        <xdr:to>
          <xdr:col>8</xdr:col>
          <xdr:colOff>114300</xdr:colOff>
          <xdr:row>3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171450</xdr:rowOff>
        </xdr:from>
        <xdr:to>
          <xdr:col>8</xdr:col>
          <xdr:colOff>123825</xdr:colOff>
          <xdr:row>9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38100</xdr:rowOff>
        </xdr:from>
        <xdr:to>
          <xdr:col>8</xdr:col>
          <xdr:colOff>123825</xdr:colOff>
          <xdr:row>12</xdr:row>
          <xdr:rowOff>76200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Ledger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F05B-E3FA-4BFD-B91F-0EA5861BAF03}">
  <sheetPr codeName="Sheet1"/>
  <dimension ref="A2:E13"/>
  <sheetViews>
    <sheetView tabSelected="1" workbookViewId="0">
      <selection activeCell="L12" sqref="L12"/>
    </sheetView>
  </sheetViews>
  <sheetFormatPr defaultRowHeight="15" x14ac:dyDescent="0.25"/>
  <cols>
    <col min="1" max="1" width="13.7109375" customWidth="1"/>
    <col min="2" max="2" width="19.42578125" customWidth="1"/>
    <col min="3" max="3" width="11.28515625" customWidth="1"/>
    <col min="5" max="5" width="18" bestFit="1" customWidth="1"/>
  </cols>
  <sheetData>
    <row r="2" spans="1:5" x14ac:dyDescent="0.25">
      <c r="A2" s="47"/>
      <c r="B2" s="47"/>
      <c r="C2" s="47"/>
      <c r="D2" s="47"/>
      <c r="E2" s="47"/>
    </row>
    <row r="13" spans="1:5" ht="13.5" customHeight="1" x14ac:dyDescent="0.25"/>
  </sheetData>
  <dataValidations count="2">
    <dataValidation type="list" allowBlank="1" showDropDown="1" showInputMessage="1" showErrorMessage="1" sqref="C9" xr:uid="{A59FE18F-F67B-4112-961A-40C6BAA1291E}">
      <formula1>"JPY, USD"</formula1>
    </dataValidation>
    <dataValidation type="list" allowBlank="1" showInputMessage="1" showErrorMessage="1" sqref="D3 D4" xr:uid="{A357995D-9D34-4FF4-990D-199E16CA07FA}">
      <formula1>"JPY, USD"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TopMenu">
                <anchor moveWithCells="1" sizeWithCells="1">
                  <from>
                    <xdr:col>1</xdr:col>
                    <xdr:colOff>38100</xdr:colOff>
                    <xdr:row>2</xdr:row>
                    <xdr:rowOff>9525</xdr:rowOff>
                  </from>
                  <to>
                    <xdr:col>2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C059-DA0B-4309-82D4-E78D4CA852B6}">
  <sheetPr codeName="Sheet2"/>
  <dimension ref="A2:G18"/>
  <sheetViews>
    <sheetView workbookViewId="0">
      <selection activeCell="D14" sqref="D14"/>
    </sheetView>
  </sheetViews>
  <sheetFormatPr defaultRowHeight="15" x14ac:dyDescent="0.25"/>
  <cols>
    <col min="1" max="1" width="15.42578125" bestFit="1" customWidth="1"/>
    <col min="2" max="2" width="35.85546875" bestFit="1" customWidth="1"/>
    <col min="3" max="3" width="21.42578125" bestFit="1" customWidth="1"/>
    <col min="5" max="5" width="18" bestFit="1" customWidth="1"/>
  </cols>
  <sheetData>
    <row r="2" spans="1:7" x14ac:dyDescent="0.25">
      <c r="A2" s="47" t="s">
        <v>35</v>
      </c>
      <c r="B2" s="47" t="s">
        <v>36</v>
      </c>
      <c r="C2" s="47" t="s">
        <v>37</v>
      </c>
      <c r="D2" s="47" t="s">
        <v>38</v>
      </c>
      <c r="E2" s="47" t="s">
        <v>39</v>
      </c>
    </row>
    <row r="5" spans="1:7" x14ac:dyDescent="0.25">
      <c r="E5" s="49"/>
    </row>
    <row r="14" spans="1:7" x14ac:dyDescent="0.25">
      <c r="G14" t="s">
        <v>41</v>
      </c>
    </row>
    <row r="18" spans="2:2" ht="15.75" x14ac:dyDescent="0.25">
      <c r="B18" s="48"/>
    </row>
  </sheetData>
  <dataValidations count="1">
    <dataValidation type="list" allowBlank="1" showDropDown="1" showInputMessage="1" showErrorMessage="1" sqref="G13:G17 F17 F13:F16 H16:Q17 F2" xr:uid="{970B7D64-37F8-49EB-AD6C-F264A00596C9}">
      <formula1>"JPY, USD"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angeFile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8</xdr:col>
                    <xdr:colOff>114300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Sheet">
                <anchor moveWithCells="1" sizeWithCells="1">
                  <from>
                    <xdr:col>6</xdr:col>
                    <xdr:colOff>9525</xdr:colOff>
                    <xdr:row>1</xdr:row>
                    <xdr:rowOff>9525</xdr:rowOff>
                  </from>
                  <to>
                    <xdr:col>8</xdr:col>
                    <xdr:colOff>114300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New">
                <anchor moveWithCells="1" sizeWithCells="1">
                  <from>
                    <xdr:col>6</xdr:col>
                    <xdr:colOff>19050</xdr:colOff>
                    <xdr:row>6</xdr:row>
                    <xdr:rowOff>171450</xdr:rowOff>
                  </from>
                  <to>
                    <xdr:col>8</xdr:col>
                    <xdr:colOff>123825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ChangeLedgerFolder">
                <anchor moveWithCells="1">
                  <from>
                    <xdr:col>6</xdr:col>
                    <xdr:colOff>9525</xdr:colOff>
                    <xdr:row>10</xdr:row>
                    <xdr:rowOff>38100</xdr:rowOff>
                  </from>
                  <to>
                    <xdr:col>8</xdr:col>
                    <xdr:colOff>123825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F54E-C2B9-4C35-A643-7E33C8AAD5D9}">
  <sheetPr codeName="GrossSalesTableTemplate"/>
  <dimension ref="A1:AH15"/>
  <sheetViews>
    <sheetView zoomScale="85" zoomScaleNormal="85" workbookViewId="0">
      <selection activeCell="A2" sqref="A2"/>
    </sheetView>
  </sheetViews>
  <sheetFormatPr defaultRowHeight="15" x14ac:dyDescent="0.25"/>
  <sheetData>
    <row r="1" spans="1:34" ht="43.5" thickBot="1" x14ac:dyDescent="0.3">
      <c r="A1" s="1"/>
      <c r="B1" s="2" t="s">
        <v>40</v>
      </c>
      <c r="C1" s="3" t="s">
        <v>0</v>
      </c>
      <c r="D1" s="4" t="s">
        <v>1</v>
      </c>
      <c r="E1" s="5" t="s">
        <v>2</v>
      </c>
      <c r="F1" s="6" t="s">
        <v>3</v>
      </c>
      <c r="G1" s="7" t="s">
        <v>4</v>
      </c>
      <c r="H1" s="8" t="s">
        <v>5</v>
      </c>
      <c r="I1" s="8" t="s">
        <v>6</v>
      </c>
      <c r="J1" s="8" t="s">
        <v>7</v>
      </c>
      <c r="K1" s="8" t="s">
        <v>8</v>
      </c>
      <c r="L1" s="9" t="s">
        <v>9</v>
      </c>
      <c r="M1" s="7" t="s">
        <v>10</v>
      </c>
      <c r="N1" s="9" t="s">
        <v>11</v>
      </c>
      <c r="O1" s="9" t="s">
        <v>12</v>
      </c>
      <c r="P1" s="10" t="s">
        <v>13</v>
      </c>
      <c r="Q1" s="10" t="s">
        <v>14</v>
      </c>
      <c r="R1" s="7" t="s">
        <v>15</v>
      </c>
      <c r="S1" s="11" t="s">
        <v>16</v>
      </c>
      <c r="T1" s="12" t="s">
        <v>17</v>
      </c>
      <c r="U1" s="12" t="s">
        <v>18</v>
      </c>
      <c r="V1" s="12" t="s">
        <v>19</v>
      </c>
      <c r="W1" s="12" t="s">
        <v>20</v>
      </c>
      <c r="X1" s="13" t="s">
        <v>21</v>
      </c>
      <c r="Y1" s="12" t="s">
        <v>22</v>
      </c>
      <c r="Z1" s="13" t="s">
        <v>23</v>
      </c>
      <c r="AA1" s="13" t="s">
        <v>24</v>
      </c>
      <c r="AB1" s="13" t="s">
        <v>25</v>
      </c>
      <c r="AC1" s="13" t="s">
        <v>26</v>
      </c>
      <c r="AD1" s="13" t="s">
        <v>27</v>
      </c>
      <c r="AE1" s="12" t="s">
        <v>28</v>
      </c>
      <c r="AF1" s="12" t="s">
        <v>29</v>
      </c>
      <c r="AG1" s="12" t="s">
        <v>30</v>
      </c>
      <c r="AH1" s="13" t="s">
        <v>31</v>
      </c>
    </row>
    <row r="2" spans="1:34" x14ac:dyDescent="0.25">
      <c r="A2" s="14">
        <f t="shared" ref="A2:A12" si="0">ROW()-1</f>
        <v>1</v>
      </c>
      <c r="B2" s="15"/>
      <c r="C2" s="16"/>
      <c r="D2" s="17"/>
      <c r="E2" s="18"/>
      <c r="F2" s="18"/>
      <c r="G2" s="18"/>
      <c r="H2" s="19"/>
      <c r="I2" s="19"/>
      <c r="J2" s="19"/>
      <c r="K2" s="20"/>
      <c r="L2" s="21"/>
      <c r="M2" s="22"/>
      <c r="N2" s="22"/>
      <c r="O2" s="22"/>
      <c r="P2" s="22"/>
      <c r="Q2" s="22"/>
      <c r="R2" s="22"/>
      <c r="S2" s="23"/>
      <c r="T2" s="24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34" x14ac:dyDescent="0.25">
      <c r="A3" s="14">
        <f t="shared" si="0"/>
        <v>2</v>
      </c>
      <c r="B3" s="15"/>
      <c r="C3" s="16"/>
      <c r="D3" s="17"/>
      <c r="E3" s="18"/>
      <c r="F3" s="18"/>
      <c r="G3" s="18"/>
      <c r="H3" s="19"/>
      <c r="I3" s="19"/>
      <c r="J3" s="19"/>
      <c r="K3" s="20"/>
      <c r="L3" s="21"/>
      <c r="M3" s="22"/>
      <c r="N3" s="22"/>
      <c r="O3" s="22"/>
      <c r="P3" s="22"/>
      <c r="Q3" s="22"/>
      <c r="R3" s="22"/>
      <c r="S3" s="23"/>
      <c r="T3" s="24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</row>
    <row r="4" spans="1:34" x14ac:dyDescent="0.25">
      <c r="A4" s="14">
        <f t="shared" si="0"/>
        <v>3</v>
      </c>
      <c r="B4" s="15"/>
      <c r="C4" s="16"/>
      <c r="D4" s="17"/>
      <c r="E4" s="18"/>
      <c r="F4" s="18"/>
      <c r="G4" s="18"/>
      <c r="H4" s="19"/>
      <c r="I4" s="19"/>
      <c r="J4" s="19"/>
      <c r="K4" s="20"/>
      <c r="L4" s="21"/>
      <c r="M4" s="22"/>
      <c r="N4" s="22"/>
      <c r="O4" s="22"/>
      <c r="P4" s="22"/>
      <c r="Q4" s="22"/>
      <c r="R4" s="22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</row>
    <row r="5" spans="1:34" x14ac:dyDescent="0.25">
      <c r="A5" s="14">
        <f t="shared" si="0"/>
        <v>4</v>
      </c>
      <c r="B5" s="15"/>
      <c r="C5" s="16"/>
      <c r="D5" s="17"/>
      <c r="E5" s="18"/>
      <c r="F5" s="18"/>
      <c r="G5" s="18"/>
      <c r="H5" s="19"/>
      <c r="I5" s="19"/>
      <c r="J5" s="19"/>
      <c r="K5" s="20"/>
      <c r="L5" s="21"/>
      <c r="M5" s="22"/>
      <c r="N5" s="22"/>
      <c r="O5" s="22"/>
      <c r="P5" s="22"/>
      <c r="Q5" s="22"/>
      <c r="R5" s="22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</row>
    <row r="6" spans="1:34" x14ac:dyDescent="0.25">
      <c r="A6" s="14">
        <f t="shared" si="0"/>
        <v>5</v>
      </c>
      <c r="B6" s="15"/>
      <c r="C6" s="16"/>
      <c r="D6" s="17"/>
      <c r="E6" s="18"/>
      <c r="F6" s="18"/>
      <c r="G6" s="18"/>
      <c r="H6" s="19"/>
      <c r="I6" s="19"/>
      <c r="J6" s="19"/>
      <c r="K6" s="20"/>
      <c r="L6" s="21"/>
      <c r="M6" s="22"/>
      <c r="N6" s="22"/>
      <c r="O6" s="22"/>
      <c r="P6" s="22"/>
      <c r="Q6" s="22"/>
      <c r="R6" s="22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</row>
    <row r="7" spans="1:34" x14ac:dyDescent="0.25">
      <c r="A7" s="14">
        <f t="shared" si="0"/>
        <v>6</v>
      </c>
      <c r="B7" s="15"/>
      <c r="C7" s="16"/>
      <c r="D7" s="17"/>
      <c r="E7" s="18"/>
      <c r="F7" s="18"/>
      <c r="G7" s="18"/>
      <c r="H7" s="19"/>
      <c r="I7" s="19"/>
      <c r="J7" s="19"/>
      <c r="K7" s="20"/>
      <c r="L7" s="21"/>
      <c r="M7" s="22"/>
      <c r="N7" s="22"/>
      <c r="O7" s="22"/>
      <c r="P7" s="22"/>
      <c r="Q7" s="22"/>
      <c r="R7" s="22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</row>
    <row r="8" spans="1:34" x14ac:dyDescent="0.25">
      <c r="A8" s="14">
        <f t="shared" si="0"/>
        <v>7</v>
      </c>
      <c r="B8" s="15"/>
      <c r="C8" s="16"/>
      <c r="D8" s="17"/>
      <c r="E8" s="18"/>
      <c r="F8" s="18"/>
      <c r="G8" s="18"/>
      <c r="H8" s="19"/>
      <c r="I8" s="19"/>
      <c r="J8" s="19"/>
      <c r="K8" s="20"/>
      <c r="L8" s="21"/>
      <c r="M8" s="22"/>
      <c r="N8" s="22"/>
      <c r="O8" s="22"/>
      <c r="P8" s="22"/>
      <c r="Q8" s="22"/>
      <c r="R8" s="22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34" x14ac:dyDescent="0.25">
      <c r="A9" s="14">
        <f t="shared" si="0"/>
        <v>8</v>
      </c>
      <c r="B9" s="15"/>
      <c r="C9" s="16"/>
      <c r="D9" s="17"/>
      <c r="E9" s="18"/>
      <c r="F9" s="18"/>
      <c r="G9" s="18"/>
      <c r="H9" s="19"/>
      <c r="I9" s="19"/>
      <c r="J9" s="19"/>
      <c r="K9" s="20"/>
      <c r="L9" s="21"/>
      <c r="M9" s="22"/>
      <c r="N9" s="22"/>
      <c r="O9" s="22"/>
      <c r="P9" s="22"/>
      <c r="Q9" s="22"/>
      <c r="R9" s="22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4" x14ac:dyDescent="0.25">
      <c r="A10" s="14">
        <f t="shared" si="0"/>
        <v>9</v>
      </c>
      <c r="B10" s="15"/>
      <c r="C10" s="16"/>
      <c r="D10" s="17"/>
      <c r="E10" s="18"/>
      <c r="F10" s="18"/>
      <c r="G10" s="18"/>
      <c r="H10" s="19"/>
      <c r="I10" s="19"/>
      <c r="J10" s="19"/>
      <c r="K10" s="20"/>
      <c r="L10" s="21"/>
      <c r="M10" s="22"/>
      <c r="N10" s="22"/>
      <c r="O10" s="22"/>
      <c r="P10" s="22"/>
      <c r="Q10" s="22"/>
      <c r="R10" s="22"/>
      <c r="S10" s="23"/>
      <c r="T10" s="24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4" x14ac:dyDescent="0.25">
      <c r="A11" s="14">
        <f t="shared" si="0"/>
        <v>10</v>
      </c>
      <c r="B11" s="15"/>
      <c r="C11" s="16"/>
      <c r="D11" s="17"/>
      <c r="E11" s="18"/>
      <c r="F11" s="18"/>
      <c r="G11" s="18"/>
      <c r="H11" s="19"/>
      <c r="I11" s="19"/>
      <c r="J11" s="19"/>
      <c r="K11" s="20"/>
      <c r="L11" s="21"/>
      <c r="M11" s="22"/>
      <c r="N11" s="22"/>
      <c r="O11" s="22"/>
      <c r="P11" s="22"/>
      <c r="Q11" s="22"/>
      <c r="R11" s="22"/>
      <c r="S11" s="23"/>
      <c r="T11" s="24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4" ht="15.75" thickBot="1" x14ac:dyDescent="0.3">
      <c r="A12" s="26">
        <f t="shared" si="0"/>
        <v>11</v>
      </c>
      <c r="B12" s="27"/>
      <c r="C12" s="16"/>
      <c r="D12" s="28"/>
      <c r="E12" s="29"/>
      <c r="F12" s="29"/>
      <c r="G12" s="30"/>
      <c r="H12" s="31"/>
      <c r="I12" s="31"/>
      <c r="J12" s="31"/>
      <c r="K12" s="30"/>
      <c r="L12" s="32"/>
      <c r="M12" s="22"/>
      <c r="N12" s="33"/>
      <c r="O12" s="33"/>
      <c r="P12" s="33"/>
      <c r="Q12" s="33"/>
      <c r="R12" s="22"/>
      <c r="S12" s="34"/>
      <c r="T12" s="24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34" ht="17.25" x14ac:dyDescent="0.25">
      <c r="A13" s="35"/>
      <c r="B13" s="35"/>
      <c r="C13" s="35"/>
      <c r="D13" s="35"/>
      <c r="E13" s="36"/>
      <c r="F13" s="36"/>
      <c r="G13" s="37"/>
      <c r="H13" s="35"/>
      <c r="I13" s="35"/>
      <c r="J13" s="35"/>
      <c r="K13" s="35"/>
      <c r="L13" s="37"/>
      <c r="M13" s="37"/>
      <c r="N13" s="37"/>
      <c r="O13" s="37"/>
      <c r="P13" s="37"/>
      <c r="Q13" s="37"/>
      <c r="R13" s="37"/>
      <c r="S13" s="35"/>
      <c r="T13" s="24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34" ht="17.25" x14ac:dyDescent="0.25">
      <c r="A14" s="38"/>
      <c r="B14" s="38"/>
      <c r="C14" s="39" t="s">
        <v>32</v>
      </c>
      <c r="D14" s="40">
        <f>COUNT($E$2:$E$12)</f>
        <v>0</v>
      </c>
      <c r="E14" s="41" t="s">
        <v>33</v>
      </c>
      <c r="F14" s="41"/>
      <c r="G14" s="41"/>
      <c r="H14" s="41"/>
      <c r="I14" s="41"/>
      <c r="J14" s="41"/>
      <c r="K14" s="41"/>
      <c r="L14" s="42">
        <f t="shared" ref="L14:R14" si="1">SUBTOTAL(9,L2:L12)</f>
        <v>0</v>
      </c>
      <c r="M14" s="42">
        <f t="shared" si="1"/>
        <v>0</v>
      </c>
      <c r="N14" s="42">
        <f t="shared" si="1"/>
        <v>0</v>
      </c>
      <c r="O14" s="42">
        <f t="shared" si="1"/>
        <v>0</v>
      </c>
      <c r="P14" s="42">
        <f t="shared" si="1"/>
        <v>0</v>
      </c>
      <c r="Q14" s="42">
        <f t="shared" si="1"/>
        <v>0</v>
      </c>
      <c r="R14" s="43">
        <f t="shared" si="1"/>
        <v>0</v>
      </c>
      <c r="S14" s="42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34" ht="17.25" x14ac:dyDescent="0.25">
      <c r="A15" s="38"/>
      <c r="B15" s="38"/>
      <c r="C15" s="42" t="s">
        <v>34</v>
      </c>
      <c r="D15" s="44"/>
      <c r="E15" s="41"/>
      <c r="F15" s="41"/>
      <c r="G15" s="45"/>
      <c r="H15" s="46"/>
      <c r="I15" s="46"/>
      <c r="J15" s="46"/>
      <c r="K15" s="46"/>
      <c r="L15" s="42"/>
      <c r="M15" s="42"/>
      <c r="N15" s="42"/>
      <c r="O15" s="42"/>
      <c r="P15" s="42"/>
      <c r="Q15" s="42"/>
      <c r="R15" s="42"/>
      <c r="S15" s="42">
        <f ca="1">SUMIF($E$2:$S$12,"入金",$S$2:$S$12)</f>
        <v>0</v>
      </c>
      <c r="T15" s="24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</sheetData>
  <conditionalFormatting sqref="C1:C14">
    <cfRule type="cellIs" dxfId="0" priority="1" stopIfTrue="1" operator="equal">
      <formula>"欠　番"</formula>
    </cfRule>
  </conditionalFormatting>
  <dataValidations count="3">
    <dataValidation type="list" allowBlank="1" showInputMessage="1" showErrorMessage="1" sqref="C13 C1 G13 K2:K12" xr:uid="{F0365135-CE10-414D-A03F-F60247E9509A}">
      <formula1>#REF!</formula1>
    </dataValidation>
    <dataValidation allowBlank="1" showInputMessage="1" showErrorMessage="1" prompt="当月分だけを表示する場合請求番号欄&quot;D&quot;から&quot;空白以外のセル&quot;で選択して下さい" sqref="E1:F1" xr:uid="{7591A84B-A86F-4483-8AE2-399ADCA05E09}"/>
    <dataValidation type="list" allowBlank="1" showInputMessage="1" showErrorMessage="1" sqref="C2:C12" xr:uid="{1A57BBCB-06BF-4FEB-99EC-B47C11D701B7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Sheet</vt:lpstr>
      <vt:lpstr>Client Settings</vt:lpstr>
      <vt:lpstr>Gross Sales Table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Gonzales</dc:creator>
  <cp:lastModifiedBy>Vince Gonzales</cp:lastModifiedBy>
  <dcterms:created xsi:type="dcterms:W3CDTF">2018-06-06T09:09:49Z</dcterms:created>
  <dcterms:modified xsi:type="dcterms:W3CDTF">2018-06-10T16:32:43Z</dcterms:modified>
</cp:coreProperties>
</file>